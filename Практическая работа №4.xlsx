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ba432037e6e182e/Desktop/Левченко_инфа/"/>
    </mc:Choice>
  </mc:AlternateContent>
  <xr:revisionPtr revIDLastSave="0" documentId="8_{B61A6B27-79B2-4CE5-9C79-EAC0848A577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Зарплата" sheetId="1" r:id="rId1"/>
    <sheet name="Товары" sheetId="2" r:id="rId2"/>
  </sheets>
  <definedNames>
    <definedName name="_xlnm._FilterDatabase" localSheetId="0" hidden="1">Зарплата!$A$1:$L$13</definedName>
    <definedName name="_xlnm._FilterDatabase" localSheetId="1" hidden="1">Товары!$A$1:$I$6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5" i="2"/>
  <c r="E4" i="2"/>
  <c r="G4" i="2" s="1"/>
  <c r="E3" i="2"/>
  <c r="G3" i="2" s="1"/>
  <c r="E2" i="2"/>
  <c r="E5" i="2"/>
  <c r="B11" i="1"/>
  <c r="C7" i="1"/>
  <c r="D7" i="1"/>
  <c r="E7" i="1"/>
  <c r="F7" i="1"/>
  <c r="B7" i="1"/>
  <c r="K3" i="1"/>
  <c r="J3" i="1"/>
  <c r="E3" i="1"/>
  <c r="E4" i="1"/>
  <c r="E5" i="1"/>
  <c r="E6" i="1"/>
  <c r="E2" i="1"/>
  <c r="F2" i="1" s="1"/>
  <c r="D2" i="1"/>
  <c r="D6" i="1"/>
  <c r="F6" i="1" s="1"/>
  <c r="D5" i="1"/>
  <c r="D4" i="1"/>
  <c r="D3" i="1"/>
  <c r="L2" i="1"/>
  <c r="K2" i="1"/>
  <c r="J2" i="1"/>
  <c r="F2" i="2" l="1"/>
  <c r="F5" i="2"/>
  <c r="F3" i="2"/>
  <c r="F4" i="2"/>
  <c r="F5" i="1"/>
  <c r="F3" i="1"/>
  <c r="F4" i="1"/>
  <c r="F6" i="2" l="1"/>
  <c r="B10" i="1"/>
  <c r="B9" i="1"/>
</calcChain>
</file>

<file path=xl/sharedStrings.xml><?xml version="1.0" encoding="utf-8"?>
<sst xmlns="http://schemas.openxmlformats.org/spreadsheetml/2006/main" count="31" uniqueCount="31">
  <si>
    <t>ФИО сотрудника</t>
  </si>
  <si>
    <t>Оклад (руб.)</t>
  </si>
  <si>
    <t>Премия (%)</t>
  </si>
  <si>
    <t>Премия (руб.)</t>
  </si>
  <si>
    <t>НДФЛ (руб.)</t>
  </si>
  <si>
    <t>К выдаче (руб.)</t>
  </si>
  <si>
    <t>№ п/п</t>
  </si>
  <si>
    <t>Ставка НДФЛ</t>
  </si>
  <si>
    <t>Коэффициент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</si>
  <si>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</si>
  <si>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</si>
  <si>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</si>
  <si>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</si>
  <si>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</si>
  <si>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</si>
  <si>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</si>
  <si>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</si>
  <si>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</si>
  <si>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</si>
  <si>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Кол-во</t>
  </si>
  <si>
    <t>Ставка НДС</t>
  </si>
  <si>
    <t>Ноутбук</t>
  </si>
  <si>
    <t>Монитор</t>
  </si>
  <si>
    <t>Клавиатура</t>
  </si>
  <si>
    <t>Мышь</t>
  </si>
  <si>
    <t xml:space="preserve">Цена за ед. </t>
  </si>
  <si>
    <t>Скидка %</t>
  </si>
  <si>
    <t xml:space="preserve">Стоимость </t>
  </si>
  <si>
    <t>Итого со скидкой</t>
  </si>
  <si>
    <t xml:space="preserve">НДС </t>
  </si>
  <si>
    <t>Итого со скидкой: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</si>
</sst>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8" formatCode="#,##0\ &quot;₽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3" borderId="0" xfId="0" applyFont="1" applyFill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4" fillId="0" borderId="0" xfId="0" applyFont="1"/>
    <xf numFmtId="0" fontId="5" fillId="0" borderId="0" xfId="0" applyFont="1"/>
    <xf numFmtId="168" fontId="4" fillId="0" borderId="0" xfId="0" applyNumberFormat="1" applyFont="1"/>
    <xf numFmtId="0" fontId="3" fillId="3" borderId="0" xfId="0" applyFont="1" applyFill="1" applyAlignment="1">
      <alignment horizontal="center"/>
    </xf>
    <xf numFmtId="0" fontId="6" fillId="0" borderId="0" xfId="0" applyFont="1"/>
    <xf numFmtId="164" fontId="4" fillId="0" borderId="0" xfId="0" quotePrefix="1" applyNumberFormat="1" applyFont="1"/>
    <xf numFmtId="0" fontId="4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D1" workbookViewId="0">
      <pane ySplit="1" topLeftCell="A2" activePane="bottomLeft" state="frozen"/>
      <selection pane="bottomLeft" sqref="A1:K10"/>
    </sheetView>
  </sheetViews>
  <sheetFormatPr defaultRowHeight="15" x14ac:dyDescent="0.25"/>
  <cols>
    <col min="1" max="1" width="60" customWidth="1"/>
    <col min="2" max="2" width="17" customWidth="1"/>
    <col min="3" max="3" width="12" customWidth="1"/>
    <col min="4" max="5" width="15" customWidth="1"/>
    <col min="6" max="6" width="17" customWidth="1"/>
    <col min="7" max="7" width="10" customWidth="1"/>
    <col min="8" max="9" width="14" customWidth="1"/>
    <col min="10" max="10" width="19" customWidth="1"/>
    <col min="11" max="11" width="20" customWidth="1"/>
    <col min="12" max="12" width="18" customWidth="1"/>
  </cols>
  <sheetData>
    <row r="1" spans="1:12" ht="18.7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1"/>
      <c r="K1" s="11"/>
      <c r="L1" s="1"/>
    </row>
    <row r="2" spans="1:12" ht="18.75" x14ac:dyDescent="0.3">
      <c r="A2" s="7" t="s">
        <v>9</v>
      </c>
      <c r="B2" s="6">
        <v>50000</v>
      </c>
      <c r="C2" s="6">
        <v>20</v>
      </c>
      <c r="D2" s="6">
        <f>B2*C2/100</f>
        <v>10000</v>
      </c>
      <c r="E2" s="12">
        <f>(B2+D2)*$H$2</f>
        <v>7800</v>
      </c>
      <c r="F2" s="6">
        <f>B2+D2-E2</f>
        <v>52200</v>
      </c>
      <c r="G2" s="7">
        <v>1</v>
      </c>
      <c r="H2" s="13">
        <v>0.13</v>
      </c>
      <c r="I2" s="7"/>
      <c r="J2" s="7">
        <f>B2*$I$2</f>
        <v>0</v>
      </c>
      <c r="K2" s="7">
        <f>C2*$I$2</f>
        <v>0</v>
      </c>
      <c r="L2">
        <f>B2*I$2</f>
        <v>0</v>
      </c>
    </row>
    <row r="3" spans="1:12" ht="18.75" x14ac:dyDescent="0.3">
      <c r="A3" s="7" t="s">
        <v>10</v>
      </c>
      <c r="B3" s="6">
        <v>45000</v>
      </c>
      <c r="C3" s="6">
        <v>15</v>
      </c>
      <c r="D3" s="6">
        <f>B3*C3/100</f>
        <v>6750</v>
      </c>
      <c r="E3" s="12">
        <f t="shared" ref="E3:E6" si="0">(B3+D3)*$H$2</f>
        <v>6727.5</v>
      </c>
      <c r="F3" s="6">
        <f>B3+D3-E3</f>
        <v>45022.5</v>
      </c>
      <c r="G3" s="7">
        <v>2</v>
      </c>
      <c r="H3" s="7"/>
      <c r="I3" s="7"/>
      <c r="J3" s="6">
        <f>B2*$I$2</f>
        <v>0</v>
      </c>
      <c r="K3" s="6">
        <f>C2*$I$2</f>
        <v>0</v>
      </c>
    </row>
    <row r="4" spans="1:12" ht="18.75" x14ac:dyDescent="0.3">
      <c r="A4" s="7" t="s">
        <v>11</v>
      </c>
      <c r="B4" s="6">
        <v>62000</v>
      </c>
      <c r="C4" s="6">
        <v>25</v>
      </c>
      <c r="D4" s="6">
        <f>B4*C4/100</f>
        <v>15500</v>
      </c>
      <c r="E4" s="12">
        <f t="shared" si="0"/>
        <v>10075</v>
      </c>
      <c r="F4" s="6">
        <f>B4+D4-E4</f>
        <v>67425</v>
      </c>
      <c r="G4" s="7">
        <v>3</v>
      </c>
      <c r="H4" s="7"/>
      <c r="I4" s="7"/>
      <c r="J4" s="7"/>
      <c r="K4" s="7"/>
    </row>
    <row r="5" spans="1:12" ht="18.75" x14ac:dyDescent="0.3">
      <c r="A5" s="7" t="s">
        <v>12</v>
      </c>
      <c r="B5" s="6">
        <v>55000</v>
      </c>
      <c r="C5" s="6">
        <v>10</v>
      </c>
      <c r="D5" s="6">
        <f>B5*C5/100</f>
        <v>5500</v>
      </c>
      <c r="E5" s="12">
        <f t="shared" si="0"/>
        <v>7865</v>
      </c>
      <c r="F5" s="6">
        <f>B5+D5-E5</f>
        <v>52635</v>
      </c>
      <c r="G5" s="7">
        <v>4</v>
      </c>
      <c r="H5" s="7"/>
      <c r="I5" s="7"/>
      <c r="J5" s="7"/>
      <c r="K5" s="7"/>
    </row>
    <row r="6" spans="1:12" ht="18.75" x14ac:dyDescent="0.3">
      <c r="A6" s="7" t="s">
        <v>13</v>
      </c>
      <c r="B6" s="6">
        <v>40000</v>
      </c>
      <c r="C6" s="6">
        <v>30</v>
      </c>
      <c r="D6" s="6">
        <f>B6*C6/100</f>
        <v>12000</v>
      </c>
      <c r="E6" s="12">
        <f t="shared" si="0"/>
        <v>6760</v>
      </c>
      <c r="F6" s="6">
        <f>B6+D6-E6</f>
        <v>45240</v>
      </c>
      <c r="G6" s="7">
        <v>5</v>
      </c>
      <c r="H6" s="7"/>
      <c r="I6" s="7"/>
      <c r="J6" s="7"/>
      <c r="K6" s="7"/>
    </row>
    <row r="7" spans="1:12" ht="18.75" x14ac:dyDescent="0.3">
      <c r="A7" s="8" t="s">
        <v>14</v>
      </c>
      <c r="B7" s="6">
        <f>SUM(B2:B6)</f>
        <v>252000</v>
      </c>
      <c r="C7" s="6">
        <f t="shared" ref="C7:F7" si="1">SUM(C2:C6)</f>
        <v>100</v>
      </c>
      <c r="D7" s="6">
        <f t="shared" si="1"/>
        <v>49750</v>
      </c>
      <c r="E7" s="6">
        <f t="shared" si="1"/>
        <v>39227.5</v>
      </c>
      <c r="F7" s="6">
        <f t="shared" si="1"/>
        <v>262522.5</v>
      </c>
      <c r="G7" s="7"/>
      <c r="H7" s="7"/>
      <c r="I7" s="7"/>
      <c r="J7" s="7"/>
      <c r="K7" s="7"/>
    </row>
    <row r="8" spans="1:12" ht="18.75" x14ac:dyDescent="0.3">
      <c r="A8" s="7"/>
      <c r="B8" s="6"/>
      <c r="C8" s="6"/>
      <c r="D8" s="6"/>
      <c r="E8" s="6"/>
      <c r="F8" s="6"/>
      <c r="G8" s="7"/>
      <c r="H8" s="7"/>
      <c r="I8" s="7"/>
      <c r="J8" s="7"/>
      <c r="K8" s="7"/>
    </row>
    <row r="9" spans="1:12" ht="18.75" x14ac:dyDescent="0.3">
      <c r="A9" s="8" t="s">
        <v>15</v>
      </c>
      <c r="B9" s="6">
        <f>AVERAGE(F2:F6)</f>
        <v>52504.5</v>
      </c>
      <c r="C9" s="6"/>
      <c r="D9" s="6"/>
      <c r="E9" s="6"/>
      <c r="F9" s="6"/>
      <c r="G9" s="7"/>
      <c r="H9" s="7"/>
      <c r="I9" s="7"/>
      <c r="J9" s="7"/>
      <c r="K9" s="7"/>
    </row>
    <row r="10" spans="1:12" ht="18.75" x14ac:dyDescent="0.3">
      <c r="A10" s="8" t="s">
        <v>16</v>
      </c>
      <c r="B10" s="6">
        <f>MAX(F2:F6)</f>
        <v>67425</v>
      </c>
      <c r="C10" s="6"/>
      <c r="D10" s="6"/>
      <c r="E10" s="6"/>
      <c r="F10" s="6"/>
      <c r="G10" s="7"/>
      <c r="H10" s="7"/>
      <c r="I10" s="7"/>
      <c r="J10" s="7"/>
      <c r="K10" s="7"/>
    </row>
    <row r="11" spans="1:12" x14ac:dyDescent="0.25">
      <c r="A11" s="3" t="s">
        <v>17</v>
      </c>
      <c r="B11" s="2">
        <f>MIN(F2:F6)</f>
        <v>45022.5</v>
      </c>
      <c r="C11" s="2"/>
      <c r="D11" s="2"/>
      <c r="E11" s="2"/>
      <c r="F11" s="2"/>
    </row>
  </sheetData>
  <autoFilter ref="A1:L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2" width="20" customWidth="1"/>
    <col min="3" max="3" width="10" customWidth="1"/>
    <col min="4" max="4" width="12" customWidth="1"/>
    <col min="5" max="5" width="18" customWidth="1"/>
    <col min="6" max="6" width="25" customWidth="1"/>
    <col min="7" max="8" width="13" customWidth="1"/>
    <col min="9" max="9" width="10" customWidth="1"/>
  </cols>
  <sheetData>
    <row r="1" spans="1:9" ht="18.75" x14ac:dyDescent="0.3">
      <c r="A1" s="4" t="s">
        <v>18</v>
      </c>
      <c r="B1" s="4" t="s">
        <v>25</v>
      </c>
      <c r="C1" s="4" t="s">
        <v>19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20</v>
      </c>
      <c r="I1" s="1"/>
    </row>
    <row r="2" spans="1:9" ht="18.75" x14ac:dyDescent="0.3">
      <c r="A2" s="5" t="s">
        <v>21</v>
      </c>
      <c r="B2" s="9">
        <v>45000</v>
      </c>
      <c r="C2" s="9">
        <v>5</v>
      </c>
      <c r="D2" s="9">
        <v>5</v>
      </c>
      <c r="E2" s="9">
        <f>B2*C2</f>
        <v>225000</v>
      </c>
      <c r="F2" s="9">
        <f>E2*(1-D2/100)</f>
        <v>213750</v>
      </c>
      <c r="G2" s="9">
        <f>E2*$H$2</f>
        <v>45000</v>
      </c>
      <c r="H2" s="7">
        <v>0.2</v>
      </c>
    </row>
    <row r="3" spans="1:9" ht="18.75" x14ac:dyDescent="0.3">
      <c r="A3" s="5" t="s">
        <v>22</v>
      </c>
      <c r="B3" s="9">
        <v>18000</v>
      </c>
      <c r="C3" s="9">
        <v>10</v>
      </c>
      <c r="D3" s="9">
        <v>3</v>
      </c>
      <c r="E3" s="9">
        <f>B3*C3</f>
        <v>180000</v>
      </c>
      <c r="F3" s="9">
        <f>E3*(1-D3/100)</f>
        <v>174600</v>
      </c>
      <c r="G3" s="9">
        <f>E3*$H$2</f>
        <v>36000</v>
      </c>
      <c r="H3" s="7"/>
    </row>
    <row r="4" spans="1:9" ht="18.75" x14ac:dyDescent="0.3">
      <c r="A4" s="5" t="s">
        <v>23</v>
      </c>
      <c r="B4" s="9">
        <v>1500</v>
      </c>
      <c r="C4" s="9">
        <v>25</v>
      </c>
      <c r="D4" s="9">
        <v>10</v>
      </c>
      <c r="E4" s="9">
        <f>B4*C4</f>
        <v>37500</v>
      </c>
      <c r="F4" s="9">
        <f>E4*(1-D4/100)</f>
        <v>33750</v>
      </c>
      <c r="G4" s="9">
        <f>E4*$H$2</f>
        <v>7500</v>
      </c>
      <c r="H4" s="7"/>
    </row>
    <row r="5" spans="1:9" ht="18.75" x14ac:dyDescent="0.3">
      <c r="A5" s="5" t="s">
        <v>24</v>
      </c>
      <c r="B5" s="9">
        <v>800</v>
      </c>
      <c r="C5" s="9">
        <v>30</v>
      </c>
      <c r="D5" s="9">
        <v>7</v>
      </c>
      <c r="E5" s="9">
        <f>B5*C5</f>
        <v>24000</v>
      </c>
      <c r="F5" s="9">
        <f>E5*(1-D5/100)</f>
        <v>22320</v>
      </c>
      <c r="G5" s="9">
        <f>E5*$H$2</f>
        <v>4800</v>
      </c>
      <c r="H5" s="7"/>
    </row>
    <row r="6" spans="1:9" ht="18.75" x14ac:dyDescent="0.3">
      <c r="A6" s="8" t="s">
        <v>30</v>
      </c>
      <c r="B6" s="7"/>
      <c r="C6" s="7"/>
      <c r="D6" s="7"/>
      <c r="E6" s="7"/>
      <c r="F6" s="9">
        <f>SUM(F2:F5)</f>
        <v>444420</v>
      </c>
      <c r="G6" s="9"/>
      <c r="H6" s="7"/>
    </row>
  </sheetData>
  <autoFilter ref="A1:I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Доминика Лушникова</cp:lastModifiedBy>
  <dcterms:created xsi:type="dcterms:W3CDTF">2026-10-26T19:14:34Z</dcterms:created>
  <dcterms:modified xsi:type="dcterms:W3CDTF">2026-10-26T22:31:12Z</dcterms:modified>
</cp:coreProperties>
</file>