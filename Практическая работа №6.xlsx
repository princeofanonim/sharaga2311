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ba432037e6e182e/Desktop/Левченко_инфа/"/>
    </mc:Choice>
  </mc:AlternateContent>
  <xr:revisionPtr revIDLastSave="0" documentId="14_{93466533-6595-4F8C-8623-658ACEB3BB7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Статистика" sheetId="1" r:id="rId1"/>
    <sheet name="Продажи" sheetId="3" r:id="rId2"/>
  </sheets>
  <definedNames>
    <definedName name="_xlnm._FilterDatabase" localSheetId="1" hidden="1">Продажи!$A$1:$H$16</definedName>
    <definedName name="_xlnm._FilterDatabase" localSheetId="0" hidden="1">Статистика!$A$1:$I$16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2" i="3"/>
  <c r="M3" i="3"/>
  <c r="M4" i="3"/>
  <c r="M5" i="3"/>
  <c r="M6" i="3"/>
  <c r="M7" i="3"/>
  <c r="M8" i="3"/>
  <c r="M9" i="3"/>
  <c r="M2" i="3"/>
  <c r="L3" i="3"/>
  <c r="L4" i="3"/>
  <c r="L5" i="3"/>
  <c r="L6" i="3"/>
  <c r="L7" i="3"/>
  <c r="L8" i="3"/>
  <c r="L9" i="3"/>
  <c r="L2" i="3"/>
  <c r="H15" i="3"/>
  <c r="G3" i="1"/>
  <c r="H3" i="1" s="1"/>
  <c r="G4" i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E16" i="3"/>
  <c r="G16" i="3" s="1"/>
  <c r="E15" i="3"/>
  <c r="G15" i="3" s="1"/>
  <c r="E14" i="3"/>
  <c r="G14" i="3" s="1"/>
  <c r="E13" i="3"/>
  <c r="G13" i="3" s="1"/>
  <c r="E12" i="3"/>
  <c r="F12" i="3" s="1"/>
  <c r="E11" i="3"/>
  <c r="G11" i="3" s="1"/>
  <c r="E10" i="3"/>
  <c r="E9" i="3"/>
  <c r="F9" i="3" s="1"/>
  <c r="E8" i="3"/>
  <c r="E7" i="3"/>
  <c r="H7" i="3" s="1"/>
  <c r="E6" i="3"/>
  <c r="F6" i="3" s="1"/>
  <c r="E5" i="3"/>
  <c r="E4" i="3"/>
  <c r="E3" i="3"/>
  <c r="F3" i="3" s="1"/>
  <c r="E2" i="3"/>
  <c r="H9" i="3" s="1"/>
  <c r="H16" i="1"/>
  <c r="F16" i="1"/>
  <c r="H15" i="1"/>
  <c r="F15" i="1"/>
  <c r="F14" i="1"/>
  <c r="F13" i="1"/>
  <c r="F12" i="1"/>
  <c r="F11" i="1"/>
  <c r="F10" i="1"/>
  <c r="F9" i="1"/>
  <c r="I9" i="1" s="1"/>
  <c r="F8" i="1"/>
  <c r="F7" i="1"/>
  <c r="F6" i="1"/>
  <c r="H5" i="1"/>
  <c r="F5" i="1"/>
  <c r="H4" i="1"/>
  <c r="F4" i="1"/>
  <c r="I4" i="1" s="1"/>
  <c r="F3" i="1"/>
  <c r="G2" i="1"/>
  <c r="F2" i="1"/>
  <c r="I10" i="1" s="1"/>
  <c r="K5" i="3" l="1"/>
  <c r="H11" i="3"/>
  <c r="H14" i="3"/>
  <c r="G5" i="3"/>
  <c r="K9" i="3"/>
  <c r="H3" i="3"/>
  <c r="H13" i="3"/>
  <c r="H8" i="3"/>
  <c r="G7" i="3"/>
  <c r="H6" i="3"/>
  <c r="K4" i="3"/>
  <c r="H12" i="3"/>
  <c r="K6" i="3"/>
  <c r="G4" i="3"/>
  <c r="H10" i="3"/>
  <c r="H5" i="3"/>
  <c r="K3" i="3"/>
  <c r="G2" i="3"/>
  <c r="K7" i="3"/>
  <c r="K8" i="3"/>
  <c r="H2" i="3"/>
  <c r="G9" i="3"/>
  <c r="H16" i="3"/>
  <c r="H4" i="3"/>
  <c r="K2" i="3"/>
  <c r="G8" i="3"/>
  <c r="G12" i="3"/>
  <c r="G6" i="3"/>
  <c r="G10" i="3"/>
  <c r="G3" i="3"/>
  <c r="F15" i="3"/>
  <c r="I15" i="1"/>
  <c r="I16" i="1"/>
  <c r="I11" i="1"/>
  <c r="I7" i="1"/>
  <c r="I2" i="1"/>
  <c r="I12" i="1"/>
  <c r="I14" i="1"/>
  <c r="I5" i="1"/>
  <c r="I8" i="1"/>
  <c r="I3" i="1"/>
  <c r="I13" i="1"/>
  <c r="I6" i="1"/>
  <c r="H2" i="1"/>
  <c r="F4" i="3"/>
  <c r="F7" i="3"/>
  <c r="F10" i="3"/>
  <c r="F13" i="3"/>
  <c r="F16" i="3"/>
  <c r="F2" i="3"/>
  <c r="F5" i="3"/>
  <c r="F8" i="3"/>
  <c r="F11" i="3"/>
  <c r="F14" i="3"/>
</calcChain>
</file>

<file path=xl/sharedStrings.xml><?xml version="1.0" encoding="utf-8"?>
<sst xmlns="http://schemas.openxmlformats.org/spreadsheetml/2006/main" count="60" uniqueCount="59">
  <si>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</si>
  <si>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</si>
  <si>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</si>
  <si>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</si>
  <si>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</si>
  <si>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</si>
  <si>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</si>
  <si>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Оценка*</t>
  </si>
  <si>
    <t>Ранг по среднему баллу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</si>
  <si>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</si>
  <si>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</si>
  <si>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</si>
  <si>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</si>
  <si>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</si>
  <si>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</si>
  <si>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</si>
  <si>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</si>
  <si>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</si>
  <si>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</si>
  <si>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</si>
  <si>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</si>
  <si>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</si>
  <si>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</si>
  <si>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</si>
  <si>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Показатель</t>
  </si>
  <si>
    <t>Сумма</t>
  </si>
  <si>
    <t>Среднее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</si>
  <si>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</si>
  <si>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</si>
  <si>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</si>
  <si>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</si>
  <si>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</si>
  <si>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</si>
  <si>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</si>
  <si>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 (руб.)</t>
  </si>
  <si>
    <t>Категория</t>
  </si>
  <si>
    <t>Доля в общей выручке</t>
  </si>
  <si>
    <t>Ранг по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</si>
  <si>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</si>
  <si>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</si>
  <si>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</si>
  <si>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</si>
  <si>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</si>
  <si>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</si>
  <si>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</si>
  <si>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</si>
  <si>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</si>
  <si>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</si>
  <si>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</si>
  <si>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</si>
  <si>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</si>
  <si>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</si>
  <si>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</si>
  <si>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Значение</t>
  </si>
  <si>
    <t>Корреляция цены и количества проданных штук</t>
  </si>
  <si>
    <t>Стандартное отклонение</t>
  </si>
  <si>
    <t>Дисперсия</t>
  </si>
  <si>
    <t>Количество товаров кат.«Топ»</t>
  </si>
  <si>
    <t>Сумма выручки кат. «Топ»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</si>
</sst>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\ &quot;₽&quot;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171" fontId="0" fillId="0" borderId="1" xfId="0" applyNumberFormat="1" applyBorder="1" applyAlignment="1">
      <alignment horizontal="center"/>
    </xf>
    <xf numFmtId="171" fontId="0" fillId="0" borderId="0" xfId="0" applyNumberFormat="1"/>
    <xf numFmtId="171" fontId="0" fillId="0" borderId="1" xfId="0" applyNumberFormat="1" applyBorder="1"/>
    <xf numFmtId="171" fontId="3" fillId="0" borderId="1" xfId="0" applyNumberFormat="1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pane ySplit="1" topLeftCell="A2" activePane="bottomLeft" state="frozen"/>
      <selection pane="bottomLeft" activeCell="T38" sqref="T38"/>
    </sheetView>
  </sheetViews>
  <sheetFormatPr defaultRowHeight="15"/>
  <cols>
    <col min="1" max="1" width="10" customWidth="1"/>
    <col min="2" max="2" width="16" customWidth="1"/>
    <col min="3" max="3" width="15" customWidth="1"/>
    <col min="4" max="4" width="19" customWidth="1"/>
    <col min="5" max="5" width="17" customWidth="1"/>
    <col min="6" max="6" width="15" customWidth="1"/>
    <col min="7" max="7" width="19" customWidth="1"/>
    <col min="8" max="8" width="60" customWidth="1"/>
    <col min="9" max="9" width="2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1</v>
      </c>
      <c r="B2" s="3" t="s">
        <v>9</v>
      </c>
      <c r="C2" s="5">
        <v>85</v>
      </c>
      <c r="D2" s="5">
        <v>85</v>
      </c>
      <c r="E2" s="5">
        <v>85</v>
      </c>
      <c r="F2" s="5">
        <f t="shared" ref="F2:F16" si="0">SUM(C2:E2)</f>
        <v>255</v>
      </c>
      <c r="G2" s="5">
        <f t="shared" ref="G2:G16" si="1">AVERAGE(C2:E2)</f>
        <v>85</v>
      </c>
      <c r="H2" s="4" t="str">
        <f t="shared" ref="H2:H16" si="2">IF(G2&gt;=90,"Отлично",IF(G2&gt;=75,"Хорошо",IF(G2&gt;=60,"Удовлетворительно","Неудовлетворительно")))</f>
        <v>Хорошо</v>
      </c>
      <c r="I2" s="5">
        <f>_xlfn.RANK.EQ(F2, $F$2:$F$16)</f>
        <v>6</v>
      </c>
    </row>
    <row r="3" spans="1:9">
      <c r="A3" s="4">
        <v>2</v>
      </c>
      <c r="B3" s="3" t="s">
        <v>10</v>
      </c>
      <c r="C3" s="5">
        <v>72</v>
      </c>
      <c r="D3" s="5">
        <v>65</v>
      </c>
      <c r="E3" s="5">
        <v>80</v>
      </c>
      <c r="F3" s="5">
        <f t="shared" si="0"/>
        <v>217</v>
      </c>
      <c r="G3" s="5">
        <f t="shared" si="1"/>
        <v>72.333333333333329</v>
      </c>
      <c r="H3" s="4" t="str">
        <f t="shared" si="2"/>
        <v>Удовлетворительно</v>
      </c>
      <c r="I3" s="5">
        <f t="shared" ref="I3:I16" si="3">_xlfn.RANK.EQ(F3, $F$2:$F$16)</f>
        <v>10</v>
      </c>
    </row>
    <row r="4" spans="1:9">
      <c r="A4" s="4">
        <v>3</v>
      </c>
      <c r="B4" s="3" t="s">
        <v>11</v>
      </c>
      <c r="C4" s="5">
        <v>95</v>
      </c>
      <c r="D4" s="5">
        <v>88</v>
      </c>
      <c r="E4" s="5">
        <v>98</v>
      </c>
      <c r="F4" s="5">
        <f t="shared" si="0"/>
        <v>281</v>
      </c>
      <c r="G4" s="5">
        <f t="shared" si="1"/>
        <v>93.666666666666671</v>
      </c>
      <c r="H4" s="4" t="str">
        <f t="shared" si="2"/>
        <v>Отлично</v>
      </c>
      <c r="I4" s="5">
        <f t="shared" si="3"/>
        <v>2</v>
      </c>
    </row>
    <row r="5" spans="1:9">
      <c r="A5" s="4">
        <v>4</v>
      </c>
      <c r="B5" s="3" t="s">
        <v>12</v>
      </c>
      <c r="C5" s="5">
        <v>60</v>
      </c>
      <c r="D5" s="5">
        <v>55</v>
      </c>
      <c r="E5" s="5">
        <v>70</v>
      </c>
      <c r="F5" s="5">
        <f t="shared" si="0"/>
        <v>185</v>
      </c>
      <c r="G5" s="5">
        <f t="shared" si="1"/>
        <v>61.666666666666664</v>
      </c>
      <c r="H5" s="4" t="str">
        <f t="shared" si="2"/>
        <v>Удовлетворительно</v>
      </c>
      <c r="I5" s="5">
        <f t="shared" si="3"/>
        <v>13</v>
      </c>
    </row>
    <row r="6" spans="1:9">
      <c r="A6" s="4">
        <v>5</v>
      </c>
      <c r="B6" s="3" t="s">
        <v>13</v>
      </c>
      <c r="C6" s="5">
        <v>78</v>
      </c>
      <c r="D6" s="5">
        <v>82</v>
      </c>
      <c r="E6" s="5">
        <v>85</v>
      </c>
      <c r="F6" s="5">
        <f t="shared" si="0"/>
        <v>245</v>
      </c>
      <c r="G6" s="5">
        <f t="shared" si="1"/>
        <v>81.666666666666671</v>
      </c>
      <c r="H6" s="4" t="str">
        <f t="shared" si="2"/>
        <v>Хорошо</v>
      </c>
      <c r="I6" s="5">
        <f t="shared" si="3"/>
        <v>7</v>
      </c>
    </row>
    <row r="7" spans="1:9">
      <c r="A7" s="4">
        <v>6</v>
      </c>
      <c r="B7" s="3" t="s">
        <v>14</v>
      </c>
      <c r="C7" s="5">
        <v>88</v>
      </c>
      <c r="D7" s="5">
        <v>90</v>
      </c>
      <c r="E7" s="5">
        <v>95</v>
      </c>
      <c r="F7" s="5">
        <f t="shared" si="0"/>
        <v>273</v>
      </c>
      <c r="G7" s="5">
        <f t="shared" si="1"/>
        <v>91</v>
      </c>
      <c r="H7" s="4" t="str">
        <f t="shared" si="2"/>
        <v>Отлично</v>
      </c>
      <c r="I7" s="5">
        <f t="shared" si="3"/>
        <v>4</v>
      </c>
    </row>
    <row r="8" spans="1:9">
      <c r="A8" s="4">
        <v>7</v>
      </c>
      <c r="B8" s="3" t="s">
        <v>15</v>
      </c>
      <c r="C8" s="5">
        <v>65</v>
      </c>
      <c r="D8" s="5">
        <v>70</v>
      </c>
      <c r="E8" s="5">
        <v>68</v>
      </c>
      <c r="F8" s="5">
        <f t="shared" si="0"/>
        <v>203</v>
      </c>
      <c r="G8" s="5">
        <f t="shared" si="1"/>
        <v>67.666666666666671</v>
      </c>
      <c r="H8" s="4" t="str">
        <f t="shared" si="2"/>
        <v>Удовлетворительно</v>
      </c>
      <c r="I8" s="5">
        <f t="shared" si="3"/>
        <v>12</v>
      </c>
    </row>
    <row r="9" spans="1:9">
      <c r="A9" s="4">
        <v>8</v>
      </c>
      <c r="B9" s="3" t="s">
        <v>16</v>
      </c>
      <c r="C9" s="5">
        <v>92</v>
      </c>
      <c r="D9" s="5">
        <v>85</v>
      </c>
      <c r="E9" s="5">
        <v>88</v>
      </c>
      <c r="F9" s="5">
        <f t="shared" si="0"/>
        <v>265</v>
      </c>
      <c r="G9" s="5">
        <f t="shared" si="1"/>
        <v>88.333333333333329</v>
      </c>
      <c r="H9" s="4" t="str">
        <f t="shared" si="2"/>
        <v>Хорошо</v>
      </c>
      <c r="I9" s="5">
        <f t="shared" si="3"/>
        <v>5</v>
      </c>
    </row>
    <row r="10" spans="1:9">
      <c r="A10" s="4">
        <v>9</v>
      </c>
      <c r="B10" s="3" t="s">
        <v>17</v>
      </c>
      <c r="C10" s="5">
        <v>55</v>
      </c>
      <c r="D10" s="5">
        <v>60</v>
      </c>
      <c r="E10" s="5">
        <v>58</v>
      </c>
      <c r="F10" s="5">
        <f t="shared" si="0"/>
        <v>173</v>
      </c>
      <c r="G10" s="5">
        <f t="shared" si="1"/>
        <v>57.666666666666664</v>
      </c>
      <c r="H10" s="4" t="str">
        <f t="shared" si="2"/>
        <v>Неудовлетворительно</v>
      </c>
      <c r="I10" s="5">
        <f t="shared" si="3"/>
        <v>15</v>
      </c>
    </row>
    <row r="11" spans="1:9">
      <c r="A11" s="4">
        <v>10</v>
      </c>
      <c r="B11" s="3" t="s">
        <v>18</v>
      </c>
      <c r="C11" s="5">
        <v>80</v>
      </c>
      <c r="D11" s="5">
        <v>75</v>
      </c>
      <c r="E11" s="5">
        <v>82</v>
      </c>
      <c r="F11" s="5">
        <f t="shared" si="0"/>
        <v>237</v>
      </c>
      <c r="G11" s="5">
        <f t="shared" si="1"/>
        <v>79</v>
      </c>
      <c r="H11" s="4" t="str">
        <f t="shared" si="2"/>
        <v>Хорошо</v>
      </c>
      <c r="I11" s="5">
        <f t="shared" si="3"/>
        <v>8</v>
      </c>
    </row>
    <row r="12" spans="1:9">
      <c r="A12" s="4">
        <v>11</v>
      </c>
      <c r="B12" s="3" t="s">
        <v>19</v>
      </c>
      <c r="C12" s="5">
        <v>70</v>
      </c>
      <c r="D12" s="5">
        <v>68</v>
      </c>
      <c r="E12" s="5">
        <v>72</v>
      </c>
      <c r="F12" s="5">
        <f t="shared" si="0"/>
        <v>210</v>
      </c>
      <c r="G12" s="5">
        <f t="shared" si="1"/>
        <v>70</v>
      </c>
      <c r="H12" s="4" t="str">
        <f t="shared" si="2"/>
        <v>Удовлетворительно</v>
      </c>
      <c r="I12" s="5">
        <f t="shared" si="3"/>
        <v>11</v>
      </c>
    </row>
    <row r="13" spans="1:9">
      <c r="A13" s="4">
        <v>12</v>
      </c>
      <c r="B13" s="3" t="s">
        <v>20</v>
      </c>
      <c r="C13" s="5">
        <v>90</v>
      </c>
      <c r="D13" s="5">
        <v>92</v>
      </c>
      <c r="E13" s="5">
        <v>94</v>
      </c>
      <c r="F13" s="5">
        <f t="shared" si="0"/>
        <v>276</v>
      </c>
      <c r="G13" s="5">
        <f t="shared" si="1"/>
        <v>92</v>
      </c>
      <c r="H13" s="4" t="str">
        <f t="shared" si="2"/>
        <v>Отлично</v>
      </c>
      <c r="I13" s="5">
        <f t="shared" si="3"/>
        <v>3</v>
      </c>
    </row>
    <row r="14" spans="1:9">
      <c r="A14" s="4">
        <v>13</v>
      </c>
      <c r="B14" s="3" t="s">
        <v>21</v>
      </c>
      <c r="C14" s="5">
        <v>75</v>
      </c>
      <c r="D14" s="5">
        <v>78</v>
      </c>
      <c r="E14" s="5">
        <v>80</v>
      </c>
      <c r="F14" s="5">
        <f t="shared" si="0"/>
        <v>233</v>
      </c>
      <c r="G14" s="5">
        <f t="shared" si="1"/>
        <v>77.666666666666671</v>
      </c>
      <c r="H14" s="4" t="str">
        <f t="shared" si="2"/>
        <v>Хорошо</v>
      </c>
      <c r="I14" s="5">
        <f t="shared" si="3"/>
        <v>9</v>
      </c>
    </row>
    <row r="15" spans="1:9">
      <c r="A15" s="4">
        <v>14</v>
      </c>
      <c r="B15" s="3" t="s">
        <v>22</v>
      </c>
      <c r="C15" s="5">
        <v>62</v>
      </c>
      <c r="D15" s="5">
        <v>58</v>
      </c>
      <c r="E15" s="5">
        <v>65</v>
      </c>
      <c r="F15" s="5">
        <f t="shared" si="0"/>
        <v>185</v>
      </c>
      <c r="G15" s="5">
        <f t="shared" si="1"/>
        <v>61.666666666666664</v>
      </c>
      <c r="H15" s="4" t="str">
        <f t="shared" si="2"/>
        <v>Удовлетворительно</v>
      </c>
      <c r="I15" s="5">
        <f t="shared" si="3"/>
        <v>13</v>
      </c>
    </row>
    <row r="16" spans="1:9">
      <c r="A16" s="4">
        <v>15</v>
      </c>
      <c r="B16" s="3" t="s">
        <v>23</v>
      </c>
      <c r="C16" s="5">
        <v>98</v>
      </c>
      <c r="D16" s="5">
        <v>95</v>
      </c>
      <c r="E16" s="5">
        <v>100</v>
      </c>
      <c r="F16" s="5">
        <f t="shared" si="0"/>
        <v>293</v>
      </c>
      <c r="G16" s="5">
        <f t="shared" si="1"/>
        <v>97.666666666666671</v>
      </c>
      <c r="H16" s="4" t="str">
        <f t="shared" si="2"/>
        <v>Отлично</v>
      </c>
      <c r="I16" s="5">
        <f t="shared" si="3"/>
        <v>1</v>
      </c>
    </row>
  </sheetData>
  <autoFilter ref="A1:I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topLeftCell="H1" zoomScale="154" zoomScaleNormal="154" workbookViewId="0">
      <pane ySplit="1" topLeftCell="A2" activePane="bottomLeft" state="frozen"/>
      <selection pane="bottomLeft" activeCell="N1" sqref="N1"/>
    </sheetView>
  </sheetViews>
  <sheetFormatPr defaultRowHeight="15"/>
  <cols>
    <col min="1" max="1" width="10" customWidth="1"/>
    <col min="2" max="2" width="17" customWidth="1"/>
    <col min="3" max="3" width="13" customWidth="1"/>
    <col min="4" max="4" width="15" customWidth="1"/>
    <col min="5" max="5" width="16" customWidth="1"/>
    <col min="6" max="6" width="56" customWidth="1"/>
    <col min="7" max="7" width="31" customWidth="1"/>
    <col min="8" max="8" width="28" customWidth="1"/>
    <col min="10" max="10" width="10.7109375" bestFit="1" customWidth="1"/>
  </cols>
  <sheetData>
    <row r="1" spans="1:14">
      <c r="A1" s="6" t="s">
        <v>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J1" s="6" t="s">
        <v>24</v>
      </c>
      <c r="K1" s="6" t="s">
        <v>53</v>
      </c>
      <c r="L1" s="12" t="s">
        <v>57</v>
      </c>
      <c r="M1" s="13" t="s">
        <v>58</v>
      </c>
      <c r="N1" s="13" t="s">
        <v>54</v>
      </c>
    </row>
    <row r="2" spans="1:14">
      <c r="A2" s="4">
        <v>1</v>
      </c>
      <c r="B2" s="4" t="s">
        <v>38</v>
      </c>
      <c r="C2" s="7">
        <v>45000</v>
      </c>
      <c r="D2" s="4">
        <v>12</v>
      </c>
      <c r="E2" s="7">
        <f t="shared" ref="E2:E16" si="0">C2*D2</f>
        <v>540000</v>
      </c>
      <c r="F2" s="4" t="str">
        <f t="shared" ref="F2:F16" si="1">IF(E2&gt;100000,"Топ",IF(E2&gt;50000,"Средний","Низкий"))</f>
        <v>Топ</v>
      </c>
      <c r="G2" s="9">
        <f>SUM(E2:E16)</f>
        <v>1888100</v>
      </c>
      <c r="H2" s="2">
        <f>_xlfn.RANK.EQ(E2, $E$2:$E$16)</f>
        <v>1</v>
      </c>
      <c r="J2" s="2" t="s">
        <v>25</v>
      </c>
      <c r="K2" s="10">
        <f>SUM(E2:E16)</f>
        <v>1888100</v>
      </c>
      <c r="L2" s="14">
        <f>COUNTIF(F2:F16, "Топ")</f>
        <v>3</v>
      </c>
      <c r="M2" s="14">
        <f>SUMIF(F2:F16, "Топ", E2:E16)</f>
        <v>1102000</v>
      </c>
      <c r="N2" s="2">
        <f>CORREL(C2:C16, D2:D16)</f>
        <v>-0.39694833806521035</v>
      </c>
    </row>
    <row r="3" spans="1:14">
      <c r="A3" s="4">
        <v>2</v>
      </c>
      <c r="B3" s="4" t="s">
        <v>39</v>
      </c>
      <c r="C3" s="7">
        <v>18000</v>
      </c>
      <c r="D3" s="4">
        <v>25</v>
      </c>
      <c r="E3" s="7">
        <f t="shared" si="0"/>
        <v>450000</v>
      </c>
      <c r="F3" s="4" t="str">
        <f t="shared" si="1"/>
        <v>Топ</v>
      </c>
      <c r="G3" s="9">
        <f t="shared" ref="G3:G16" si="2">SUM(E3:E17)</f>
        <v>1348100</v>
      </c>
      <c r="H3" s="2">
        <f t="shared" ref="H3:H16" si="3">_xlfn.RANK.EQ(E3, $E$2:$E$16)</f>
        <v>2</v>
      </c>
      <c r="J3" s="2" t="s">
        <v>26</v>
      </c>
      <c r="K3" s="9">
        <f>AVERAGE(E2:E16)</f>
        <v>125873.33333333333</v>
      </c>
      <c r="L3" s="14">
        <f t="shared" ref="L3:L9" si="4">COUNTIF(F3:F17, "Топ")</f>
        <v>2</v>
      </c>
      <c r="M3" s="14">
        <f t="shared" ref="M3:M9" si="5">SUMIF(F3:F17, "Топ", E3:E17)</f>
        <v>562000</v>
      </c>
      <c r="N3" s="2">
        <f>CORREL(C3:C17, D3:D17)</f>
        <v>-0.52253959948216</v>
      </c>
    </row>
    <row r="4" spans="1:14">
      <c r="A4" s="4">
        <v>3</v>
      </c>
      <c r="B4" s="4" t="s">
        <v>40</v>
      </c>
      <c r="C4" s="7">
        <v>1500</v>
      </c>
      <c r="D4" s="4">
        <v>60</v>
      </c>
      <c r="E4" s="7">
        <f t="shared" si="0"/>
        <v>90000</v>
      </c>
      <c r="F4" s="4" t="str">
        <f t="shared" si="1"/>
        <v>Средний</v>
      </c>
      <c r="G4" s="9">
        <f t="shared" si="2"/>
        <v>898100</v>
      </c>
      <c r="H4" s="2">
        <f t="shared" si="3"/>
        <v>5</v>
      </c>
      <c r="J4" s="2" t="s">
        <v>27</v>
      </c>
      <c r="K4" s="10">
        <f>MEDIAN(E2:E16)</f>
        <v>70000</v>
      </c>
      <c r="L4" s="14">
        <f t="shared" si="4"/>
        <v>1</v>
      </c>
      <c r="M4" s="14">
        <f t="shared" si="5"/>
        <v>112000</v>
      </c>
      <c r="N4" s="2">
        <f>CORREL(C4:C18, D4:D18)</f>
        <v>-0.63218739627065768</v>
      </c>
    </row>
    <row r="5" spans="1:14">
      <c r="A5" s="4">
        <v>4</v>
      </c>
      <c r="B5" s="4" t="s">
        <v>41</v>
      </c>
      <c r="C5" s="7">
        <v>800</v>
      </c>
      <c r="D5" s="4">
        <v>85</v>
      </c>
      <c r="E5" s="7">
        <f t="shared" si="0"/>
        <v>68000</v>
      </c>
      <c r="F5" s="4" t="str">
        <f t="shared" si="1"/>
        <v>Средний</v>
      </c>
      <c r="G5" s="9">
        <f t="shared" si="2"/>
        <v>808100</v>
      </c>
      <c r="H5" s="2">
        <f t="shared" si="3"/>
        <v>9</v>
      </c>
      <c r="J5" s="2" t="s">
        <v>28</v>
      </c>
      <c r="K5" s="2" t="e">
        <f>_xlfn.MODE.SNGL(E2:E16)</f>
        <v>#N/A</v>
      </c>
      <c r="L5" s="14">
        <f t="shared" si="4"/>
        <v>1</v>
      </c>
      <c r="M5" s="14">
        <f t="shared" si="5"/>
        <v>112000</v>
      </c>
      <c r="N5" s="2">
        <f>CORREL(C5:C19, D5:D19)</f>
        <v>-0.63628324700958439</v>
      </c>
    </row>
    <row r="6" spans="1:14">
      <c r="A6" s="4">
        <v>5</v>
      </c>
      <c r="B6" s="4" t="s">
        <v>42</v>
      </c>
      <c r="C6" s="7">
        <v>12000</v>
      </c>
      <c r="D6" s="4">
        <v>8</v>
      </c>
      <c r="E6" s="7">
        <f t="shared" si="0"/>
        <v>96000</v>
      </c>
      <c r="F6" s="4" t="str">
        <f t="shared" si="1"/>
        <v>Средний</v>
      </c>
      <c r="G6" s="9">
        <f t="shared" si="2"/>
        <v>740100</v>
      </c>
      <c r="H6" s="2">
        <f t="shared" si="3"/>
        <v>4</v>
      </c>
      <c r="J6" s="2" t="s">
        <v>29</v>
      </c>
      <c r="K6" s="10">
        <f>MIN(E2:E16)</f>
        <v>36000</v>
      </c>
      <c r="L6" s="14">
        <f t="shared" si="4"/>
        <v>1</v>
      </c>
      <c r="M6" s="14">
        <f t="shared" si="5"/>
        <v>112000</v>
      </c>
      <c r="N6" s="2">
        <f>CORREL(C6:C20, D6:D20)</f>
        <v>-0.62350438102248795</v>
      </c>
    </row>
    <row r="7" spans="1:14">
      <c r="A7" s="4">
        <v>6</v>
      </c>
      <c r="B7" s="4" t="s">
        <v>43</v>
      </c>
      <c r="C7" s="7">
        <v>9000</v>
      </c>
      <c r="D7" s="4">
        <v>6</v>
      </c>
      <c r="E7" s="7">
        <f t="shared" si="0"/>
        <v>54000</v>
      </c>
      <c r="F7" s="4" t="str">
        <f t="shared" si="1"/>
        <v>Средний</v>
      </c>
      <c r="G7" s="9">
        <f t="shared" si="2"/>
        <v>644100</v>
      </c>
      <c r="H7" s="2">
        <f t="shared" si="3"/>
        <v>12</v>
      </c>
      <c r="J7" s="2" t="s">
        <v>30</v>
      </c>
      <c r="K7" s="9">
        <f>MAX(E2:E16)</f>
        <v>540000</v>
      </c>
      <c r="L7" s="14">
        <f t="shared" si="4"/>
        <v>1</v>
      </c>
      <c r="M7" s="14">
        <f t="shared" si="5"/>
        <v>112000</v>
      </c>
      <c r="N7" s="2">
        <f>CORREL(C7:C21, D7:D21)</f>
        <v>-0.67300937770033087</v>
      </c>
    </row>
    <row r="8" spans="1:14">
      <c r="A8" s="4">
        <v>7</v>
      </c>
      <c r="B8" s="4" t="s">
        <v>44</v>
      </c>
      <c r="C8" s="7">
        <v>600</v>
      </c>
      <c r="D8" s="4">
        <v>120</v>
      </c>
      <c r="E8" s="7">
        <f t="shared" si="0"/>
        <v>72000</v>
      </c>
      <c r="F8" s="4" t="str">
        <f t="shared" si="1"/>
        <v>Средний</v>
      </c>
      <c r="G8" s="9">
        <f t="shared" si="2"/>
        <v>590100</v>
      </c>
      <c r="H8" s="2">
        <f t="shared" si="3"/>
        <v>7</v>
      </c>
      <c r="J8" s="2" t="s">
        <v>55</v>
      </c>
      <c r="K8" s="11">
        <f>_xlfn.STDEV.S(E2:E16)</f>
        <v>152155.31757604354</v>
      </c>
      <c r="L8" s="14">
        <f t="shared" si="4"/>
        <v>1</v>
      </c>
      <c r="M8" s="14">
        <f t="shared" si="5"/>
        <v>112000</v>
      </c>
      <c r="N8" s="2">
        <f>CORREL(C8:C22, D8:D22)</f>
        <v>-0.74454230577361336</v>
      </c>
    </row>
    <row r="9" spans="1:14">
      <c r="A9" s="4">
        <v>8</v>
      </c>
      <c r="B9" s="4" t="s">
        <v>45</v>
      </c>
      <c r="C9" s="7">
        <v>5500</v>
      </c>
      <c r="D9" s="4">
        <v>15</v>
      </c>
      <c r="E9" s="7">
        <f t="shared" si="0"/>
        <v>82500</v>
      </c>
      <c r="F9" s="4" t="str">
        <f t="shared" si="1"/>
        <v>Средний</v>
      </c>
      <c r="G9" s="9">
        <f t="shared" si="2"/>
        <v>518100</v>
      </c>
      <c r="H9" s="2">
        <f t="shared" si="3"/>
        <v>6</v>
      </c>
      <c r="J9" s="2" t="s">
        <v>56</v>
      </c>
      <c r="K9" s="11">
        <f>_xlfn.VAR.S(E2:E16)</f>
        <v>23151240666.666668</v>
      </c>
      <c r="L9" s="14">
        <f t="shared" si="4"/>
        <v>1</v>
      </c>
      <c r="M9" s="14">
        <f t="shared" si="5"/>
        <v>112000</v>
      </c>
      <c r="N9" s="2">
        <f>CORREL(C9:C23, D9:D23)</f>
        <v>-0.70951689226305592</v>
      </c>
    </row>
    <row r="10" spans="1:14">
      <c r="A10" s="4">
        <v>9</v>
      </c>
      <c r="B10" s="4" t="s">
        <v>46</v>
      </c>
      <c r="C10" s="7">
        <v>2800</v>
      </c>
      <c r="D10" s="4">
        <v>22</v>
      </c>
      <c r="E10" s="7">
        <f t="shared" si="0"/>
        <v>61600</v>
      </c>
      <c r="F10" s="4" t="str">
        <f t="shared" si="1"/>
        <v>Средний</v>
      </c>
      <c r="G10" s="9">
        <f t="shared" si="2"/>
        <v>435600</v>
      </c>
      <c r="H10" s="2">
        <f t="shared" si="3"/>
        <v>11</v>
      </c>
      <c r="J10" s="2"/>
      <c r="K10" s="2"/>
      <c r="L10" s="2"/>
      <c r="M10" s="2"/>
      <c r="N10" s="2"/>
    </row>
    <row r="11" spans="1:14">
      <c r="A11" s="4">
        <v>10</v>
      </c>
      <c r="B11" s="4" t="s">
        <v>47</v>
      </c>
      <c r="C11" s="7">
        <v>3200</v>
      </c>
      <c r="D11" s="4">
        <v>35</v>
      </c>
      <c r="E11" s="7">
        <f t="shared" si="0"/>
        <v>112000</v>
      </c>
      <c r="F11" s="4" t="str">
        <f t="shared" si="1"/>
        <v>Топ</v>
      </c>
      <c r="G11" s="9">
        <f t="shared" si="2"/>
        <v>374000</v>
      </c>
      <c r="H11" s="2">
        <f t="shared" si="3"/>
        <v>3</v>
      </c>
      <c r="J11" s="2"/>
      <c r="K11" s="2"/>
      <c r="L11" s="2"/>
      <c r="M11" s="2"/>
      <c r="N11" s="2"/>
    </row>
    <row r="12" spans="1:14">
      <c r="A12" s="4">
        <v>11</v>
      </c>
      <c r="B12" s="4" t="s">
        <v>48</v>
      </c>
      <c r="C12" s="7">
        <v>400</v>
      </c>
      <c r="D12" s="4">
        <v>90</v>
      </c>
      <c r="E12" s="7">
        <f t="shared" si="0"/>
        <v>36000</v>
      </c>
      <c r="F12" s="4" t="str">
        <f t="shared" si="1"/>
        <v>Низкий</v>
      </c>
      <c r="G12" s="9">
        <f t="shared" si="2"/>
        <v>262000</v>
      </c>
      <c r="H12" s="2">
        <f t="shared" si="3"/>
        <v>15</v>
      </c>
      <c r="J12" s="2"/>
      <c r="K12" s="2"/>
      <c r="L12" s="2"/>
      <c r="M12" s="2"/>
      <c r="N12" s="2"/>
    </row>
    <row r="13" spans="1:14">
      <c r="A13" s="4">
        <v>12</v>
      </c>
      <c r="B13" s="4" t="s">
        <v>49</v>
      </c>
      <c r="C13" s="7">
        <v>1200</v>
      </c>
      <c r="D13" s="4">
        <v>40</v>
      </c>
      <c r="E13" s="7">
        <f t="shared" si="0"/>
        <v>48000</v>
      </c>
      <c r="F13" s="4" t="str">
        <f t="shared" si="1"/>
        <v>Низкий</v>
      </c>
      <c r="G13" s="9">
        <f t="shared" si="2"/>
        <v>226000</v>
      </c>
      <c r="H13" s="2">
        <f t="shared" si="3"/>
        <v>13</v>
      </c>
      <c r="J13" s="2"/>
      <c r="K13" s="2"/>
      <c r="L13" s="2"/>
      <c r="M13" s="2"/>
      <c r="N13" s="2"/>
    </row>
    <row r="14" spans="1:14">
      <c r="A14" s="4">
        <v>13</v>
      </c>
      <c r="B14" s="4" t="s">
        <v>50</v>
      </c>
      <c r="C14" s="7">
        <v>2500</v>
      </c>
      <c r="D14" s="4">
        <v>18</v>
      </c>
      <c r="E14" s="7">
        <f t="shared" si="0"/>
        <v>45000</v>
      </c>
      <c r="F14" s="4" t="str">
        <f t="shared" si="1"/>
        <v>Низкий</v>
      </c>
      <c r="G14" s="9">
        <f t="shared" si="2"/>
        <v>178000</v>
      </c>
      <c r="H14" s="2">
        <f t="shared" si="3"/>
        <v>14</v>
      </c>
      <c r="J14" s="2"/>
      <c r="K14" s="2"/>
      <c r="L14" s="2"/>
      <c r="M14" s="2"/>
      <c r="N14" s="2"/>
    </row>
    <row r="15" spans="1:14">
      <c r="A15" s="4">
        <v>14</v>
      </c>
      <c r="B15" s="4" t="s">
        <v>51</v>
      </c>
      <c r="C15" s="7">
        <v>350</v>
      </c>
      <c r="D15" s="4">
        <v>200</v>
      </c>
      <c r="E15" s="7">
        <f t="shared" si="0"/>
        <v>70000</v>
      </c>
      <c r="F15" s="4" t="str">
        <f t="shared" si="1"/>
        <v>Средний</v>
      </c>
      <c r="G15" s="9">
        <f t="shared" si="2"/>
        <v>133000</v>
      </c>
      <c r="H15" s="2">
        <f t="shared" si="3"/>
        <v>8</v>
      </c>
      <c r="J15" s="2"/>
      <c r="K15" s="2"/>
      <c r="L15" s="2"/>
      <c r="M15" s="2"/>
      <c r="N15" s="2"/>
    </row>
    <row r="16" spans="1:14">
      <c r="A16" s="4">
        <v>15</v>
      </c>
      <c r="B16" s="4" t="s">
        <v>52</v>
      </c>
      <c r="C16" s="7">
        <v>4500</v>
      </c>
      <c r="D16" s="4">
        <v>14</v>
      </c>
      <c r="E16" s="7">
        <f t="shared" si="0"/>
        <v>63000</v>
      </c>
      <c r="F16" s="4" t="str">
        <f t="shared" si="1"/>
        <v>Средний</v>
      </c>
      <c r="G16" s="9">
        <f t="shared" si="2"/>
        <v>63000</v>
      </c>
      <c r="H16" s="2">
        <f t="shared" si="3"/>
        <v>10</v>
      </c>
      <c r="J16" s="2"/>
      <c r="K16" s="2"/>
      <c r="L16" s="2"/>
      <c r="M16" s="2"/>
      <c r="N16" s="2"/>
    </row>
    <row r="17" spans="3:5">
      <c r="C17" s="8"/>
      <c r="E17" s="8"/>
    </row>
    <row r="18" spans="3:5">
      <c r="C18" s="8"/>
    </row>
  </sheetData>
  <autoFilter ref="A1:H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Доминика Лушникова</cp:lastModifiedBy>
  <dcterms:created xsi:type="dcterms:W3CDTF">2026-10-26T20:57:33Z</dcterms:created>
  <dcterms:modified xsi:type="dcterms:W3CDTF">2026-10-26T22:23:08Z</dcterms:modified>
</cp:coreProperties>
</file>