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dba432037e6e182e/Desktop/Левченко_инфа/"/>
    </mc:Choice>
  </mc:AlternateContent>
  <xr:revisionPtr revIDLastSave="0" documentId="8_{4CDAC2D3-0CE2-46F7-9269-1E644BC718DF}" xr6:coauthVersionLast="47" xr6:coauthVersionMax="47" xr10:uidLastSave="{00000000-0000-0000-0000-000000000000}"/>
  <bookViews>
    <workbookView xWindow="12795" yWindow="0" windowWidth="16110" windowHeight="15585" firstSheet="2" activeTab="3" xr2:uid="{00000000-000D-0000-FFFF-FFFF00000000}"/>
  </bookViews>
  <sheets>
    <sheet name="Математика" sheetId="1" r:id="rId1"/>
    <sheet name="Степени и логарифмы" sheetId="2" r:id="rId2"/>
    <sheet name="Суммирование с условием " sheetId="5" r:id="rId3"/>
    <sheet name="Расчёт кредита" sheetId="6" r:id="rId4"/>
  </sheets>
  <definedNames>
    <definedName name="_xlnm._FilterDatabase" localSheetId="0" hidden="1">Математика!$A$1:$K$8</definedName>
    <definedName name="_xlnm._FilterDatabase" localSheetId="3" hidden="1">'Расчёт кредита'!$A$1:$F$45</definedName>
    <definedName name="_xlnm._FilterDatabase" localSheetId="1" hidden="1">'Степени и логарифмы'!$A$1:$C$8</definedName>
    <definedName name="_xlnm._FilterDatabase" localSheetId="2" hidden="1">'Суммирование с условием '!$A$1:$C$8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6" l="1"/>
  <c r="B8" i="6"/>
  <c r="B6" i="6"/>
  <c r="B4" i="5" a="1"/>
  <c r="B4" i="5" s="1"/>
  <c r="B5" i="2"/>
  <c r="B6" i="2" a="1"/>
  <c r="B6" i="2" s="1"/>
  <c r="B8" i="2"/>
  <c r="I2" i="1"/>
  <c r="I3" i="1"/>
  <c r="I4" i="1"/>
  <c r="I5" i="1"/>
  <c r="I6" i="1"/>
  <c r="I7" i="1"/>
  <c r="I8" i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B5" i="6"/>
  <c r="B7" i="2"/>
  <c r="F2" i="1"/>
  <c r="B7" i="6" l="1"/>
  <c r="B5" i="5"/>
  <c r="B6" i="5"/>
  <c r="B3" i="5"/>
  <c r="B8" i="5"/>
  <c r="B2" i="5"/>
  <c r="B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<sst xmlns="http://schemas.openxmlformats.org/spreadsheetml/2006/main" count="39" uniqueCount="37">
  <si>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</si>
  <si>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</si>
  <si>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</si>
  <si>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</si>
  <si>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</si>
  <si>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</si>
  <si>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Объём цилиндра (мм³)</t>
  </si>
  <si>
    <t>Корень из объёма</t>
  </si>
  <si>
    <t>Модуль отклонения массы от нормы (кг)</t>
  </si>
  <si>
    <t>№ п/п</t>
  </si>
  <si>
    <t>Норма массы (кг)</t>
  </si>
  <si>
    <t>Показатель</t>
  </si>
  <si>
    <t>Значение</t>
  </si>
  <si>
    <t>Годовая ставка</t>
  </si>
  <si>
    <t>Срок (лет)</t>
  </si>
  <si>
    <t>Оценка срока по правилу 72 (лет)</t>
  </si>
  <si>
    <t>Результат</t>
  </si>
  <si>
    <t>Общая масса всех деталей (кг)</t>
  </si>
  <si>
    <t>Масса деталей тяжелее 2 кг (кг)</t>
  </si>
  <si>
    <t>Средневзвешенная масса по длине (кг)</t>
  </si>
  <si>
    <t>Количество деталей тяжелее 2 кг</t>
  </si>
  <si>
    <t>Средняя масса (кг)</t>
  </si>
  <si>
    <t>Максимальная масса (кг)</t>
  </si>
  <si>
    <t>Минимальная масса (кг)</t>
  </si>
  <si>
    <t>Сумма кредита (руб.)</t>
  </si>
  <si>
    <t>Ежемесячная ставка</t>
  </si>
  <si>
    <t xml:space="preserve">Начальная сумма </t>
  </si>
  <si>
    <t xml:space="preserve">Сложный процент, итоговая сумма </t>
  </si>
  <si>
    <t>Непрерывное начисление, итоговая сумма</t>
  </si>
  <si>
    <t>Срок удвоения капитала</t>
  </si>
  <si>
    <t>Ставка годовая</t>
  </si>
  <si>
    <t>Ежемесячный платёж</t>
  </si>
  <si>
    <t xml:space="preserve">Общая сумма выплат </t>
  </si>
  <si>
    <t xml:space="preserve">Переплата по кредиту </t>
  </si>
  <si>
    <t>График платежей</t>
  </si>
  <si>
    <t xml:space="preserve">Значение </t>
  </si>
  <si>
    <t xml:space="preserve">Показатель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</si>
</sst>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₽&quot;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2"/>
      <name val="Times New Roman"/>
      <family val="1"/>
      <charset val="204"/>
    </font>
    <font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3" fillId="0" borderId="1" xfId="0" applyNumberFormat="1" applyFont="1" applyBorder="1"/>
    <xf numFmtId="0" fontId="4" fillId="2" borderId="1" xfId="0" applyFont="1" applyFill="1" applyBorder="1"/>
    <xf numFmtId="0" fontId="3" fillId="0" borderId="1" xfId="0" applyFont="1" applyBorder="1"/>
    <xf numFmtId="0" fontId="5" fillId="2" borderId="0" xfId="0" applyFont="1" applyFill="1"/>
    <xf numFmtId="0" fontId="3" fillId="0" borderId="1" xfId="0" applyNumberFormat="1" applyFont="1" applyBorder="1"/>
    <xf numFmtId="165" fontId="3" fillId="0" borderId="0" xfId="0" applyNumberFormat="1" applyFont="1"/>
    <xf numFmtId="0" fontId="3" fillId="0" borderId="0" xfId="0" applyNumberFormat="1" applyFont="1"/>
    <xf numFmtId="165" fontId="0" fillId="0" borderId="0" xfId="0" applyNumberFormat="1"/>
    <xf numFmtId="165" fontId="3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pane ySplit="1" topLeftCell="A2" activePane="bottomLeft" state="frozen"/>
      <selection pane="bottomLeft" activeCell="I4" sqref="I4"/>
    </sheetView>
  </sheetViews>
  <sheetFormatPr defaultRowHeight="15" x14ac:dyDescent="0.25"/>
  <cols>
    <col min="1" max="1" width="10" customWidth="1"/>
    <col min="2" max="3" width="15" customWidth="1"/>
    <col min="4" max="6" width="14" customWidth="1"/>
    <col min="7" max="7" width="24" customWidth="1"/>
    <col min="8" max="8" width="18" customWidth="1"/>
    <col min="9" max="9" width="39" customWidth="1"/>
    <col min="10" max="10" width="10" customWidth="1"/>
    <col min="11" max="11" width="18" customWidth="1"/>
  </cols>
  <sheetData>
    <row r="1" spans="1:12" ht="18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/>
    </row>
    <row r="2" spans="1:12" ht="18.75" x14ac:dyDescent="0.3">
      <c r="A2" s="8">
        <v>1</v>
      </c>
      <c r="B2" s="4">
        <v>12.5</v>
      </c>
      <c r="C2" s="4">
        <v>30</v>
      </c>
      <c r="D2" s="4">
        <v>2.4</v>
      </c>
      <c r="E2" s="4">
        <v>145</v>
      </c>
      <c r="F2" s="4">
        <f t="shared" ref="F2:F8" si="0">2*B2</f>
        <v>25</v>
      </c>
      <c r="G2" s="4">
        <f>PI()*B2^2*C2</f>
        <v>14726.215563702155</v>
      </c>
      <c r="H2" s="4">
        <f>SQRT(G2)</f>
        <v>121.3516195347312</v>
      </c>
      <c r="I2" s="6">
        <f t="shared" ref="I2:I8" si="1">ABS(D2-$K$2)</f>
        <v>0.60000000000000009</v>
      </c>
      <c r="J2" s="6">
        <v>1</v>
      </c>
      <c r="K2" s="6">
        <v>3</v>
      </c>
    </row>
    <row r="3" spans="1:12" ht="18.75" x14ac:dyDescent="0.3">
      <c r="A3" s="8">
        <v>2</v>
      </c>
      <c r="B3" s="4">
        <v>8.3000000000000007</v>
      </c>
      <c r="C3" s="4">
        <v>25</v>
      </c>
      <c r="D3" s="4">
        <v>1.1000000000000001</v>
      </c>
      <c r="E3" s="4">
        <v>98</v>
      </c>
      <c r="F3" s="4">
        <f t="shared" si="0"/>
        <v>16.600000000000001</v>
      </c>
      <c r="G3" s="4">
        <f t="shared" ref="G3:G8" si="2">PI()*B3^2*C3</f>
        <v>5410.6079476450223</v>
      </c>
      <c r="H3" s="4">
        <f t="shared" ref="H3:H8" si="3">SQRT(G3)</f>
        <v>73.556834812578927</v>
      </c>
      <c r="I3" s="6">
        <f t="shared" si="1"/>
        <v>1.9</v>
      </c>
      <c r="J3" s="6">
        <v>2</v>
      </c>
      <c r="K3" s="6"/>
    </row>
    <row r="4" spans="1:12" ht="18.75" x14ac:dyDescent="0.3">
      <c r="A4" s="8">
        <v>3</v>
      </c>
      <c r="B4" s="4">
        <v>15.7</v>
      </c>
      <c r="C4" s="4">
        <v>40</v>
      </c>
      <c r="D4" s="4">
        <v>4</v>
      </c>
      <c r="E4" s="4">
        <v>210</v>
      </c>
      <c r="F4" s="4">
        <f t="shared" si="0"/>
        <v>31.4</v>
      </c>
      <c r="G4" s="4">
        <f t="shared" si="2"/>
        <v>30974.846927333921</v>
      </c>
      <c r="H4" s="4">
        <f t="shared" si="3"/>
        <v>175.99672419489494</v>
      </c>
      <c r="I4" s="6">
        <f t="shared" si="1"/>
        <v>1</v>
      </c>
      <c r="J4" s="6">
        <v>3</v>
      </c>
      <c r="K4" s="6"/>
    </row>
    <row r="5" spans="1:12" ht="18.75" x14ac:dyDescent="0.3">
      <c r="A5" s="8">
        <v>4</v>
      </c>
      <c r="B5" s="4">
        <v>6.2</v>
      </c>
      <c r="C5" s="4">
        <v>18</v>
      </c>
      <c r="D5" s="4">
        <v>0.7</v>
      </c>
      <c r="E5" s="4">
        <v>75</v>
      </c>
      <c r="F5" s="4">
        <f t="shared" si="0"/>
        <v>12.4</v>
      </c>
      <c r="G5" s="4">
        <f t="shared" si="2"/>
        <v>2173.7307888718501</v>
      </c>
      <c r="H5" s="4">
        <f t="shared" si="3"/>
        <v>46.623285908136616</v>
      </c>
      <c r="I5" s="6">
        <f t="shared" si="1"/>
        <v>2.2999999999999998</v>
      </c>
      <c r="J5" s="6">
        <v>4</v>
      </c>
      <c r="K5" s="6"/>
    </row>
    <row r="6" spans="1:12" ht="18.75" x14ac:dyDescent="0.3">
      <c r="A6" s="8">
        <v>5</v>
      </c>
      <c r="B6" s="4">
        <v>20.100000000000001</v>
      </c>
      <c r="C6" s="4">
        <v>55</v>
      </c>
      <c r="D6" s="4">
        <v>6.5</v>
      </c>
      <c r="E6" s="4">
        <v>320</v>
      </c>
      <c r="F6" s="4">
        <f t="shared" si="0"/>
        <v>40.200000000000003</v>
      </c>
      <c r="G6" s="4">
        <f t="shared" si="2"/>
        <v>69807.916638724681</v>
      </c>
      <c r="H6" s="4">
        <f t="shared" si="3"/>
        <v>264.21187830740064</v>
      </c>
      <c r="I6" s="6">
        <f t="shared" si="1"/>
        <v>3.5</v>
      </c>
      <c r="J6" s="6">
        <v>5</v>
      </c>
      <c r="K6" s="6"/>
    </row>
    <row r="7" spans="1:12" ht="18.75" x14ac:dyDescent="0.3">
      <c r="A7" s="8">
        <v>6</v>
      </c>
      <c r="B7" s="4">
        <v>10.4</v>
      </c>
      <c r="C7" s="4">
        <v>28</v>
      </c>
      <c r="D7" s="4">
        <v>1.9</v>
      </c>
      <c r="E7" s="4">
        <v>130</v>
      </c>
      <c r="F7" s="4">
        <f t="shared" si="0"/>
        <v>20.8</v>
      </c>
      <c r="G7" s="4">
        <f t="shared" si="2"/>
        <v>9514.250519543617</v>
      </c>
      <c r="H7" s="4">
        <f t="shared" si="3"/>
        <v>97.541019676562826</v>
      </c>
      <c r="I7" s="6">
        <f t="shared" si="1"/>
        <v>1.1000000000000001</v>
      </c>
      <c r="J7" s="6">
        <v>6</v>
      </c>
      <c r="K7" s="6"/>
    </row>
    <row r="8" spans="1:12" ht="18.75" x14ac:dyDescent="0.3">
      <c r="A8" s="8">
        <v>7</v>
      </c>
      <c r="B8" s="4">
        <v>18.899999999999999</v>
      </c>
      <c r="C8" s="4">
        <v>48</v>
      </c>
      <c r="D8" s="4">
        <v>5.2</v>
      </c>
      <c r="E8" s="4">
        <v>275</v>
      </c>
      <c r="F8" s="4">
        <f t="shared" si="0"/>
        <v>37.799999999999997</v>
      </c>
      <c r="G8" s="4">
        <f t="shared" si="2"/>
        <v>53865.998965862877</v>
      </c>
      <c r="H8" s="4">
        <f t="shared" si="3"/>
        <v>232.09049736226359</v>
      </c>
      <c r="I8" s="6">
        <f t="shared" si="1"/>
        <v>2.2000000000000002</v>
      </c>
      <c r="J8" s="6">
        <v>7</v>
      </c>
      <c r="K8" s="6"/>
    </row>
  </sheetData>
  <autoFilter ref="A1:K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 activeCell="A20" sqref="A20"/>
    </sheetView>
  </sheetViews>
  <sheetFormatPr defaultRowHeight="15" x14ac:dyDescent="0.25"/>
  <cols>
    <col min="1" max="1" width="47" customWidth="1"/>
    <col min="2" max="3" width="22" customWidth="1"/>
  </cols>
  <sheetData>
    <row r="1" spans="1:3" ht="18.75" x14ac:dyDescent="0.3">
      <c r="A1" s="2" t="s">
        <v>11</v>
      </c>
      <c r="B1" s="2" t="s">
        <v>12</v>
      </c>
      <c r="C1" s="2"/>
    </row>
    <row r="2" spans="1:3" ht="18.75" x14ac:dyDescent="0.3">
      <c r="A2" s="3" t="s">
        <v>26</v>
      </c>
      <c r="B2" s="9">
        <v>100000</v>
      </c>
      <c r="C2" s="3"/>
    </row>
    <row r="3" spans="1:3" ht="18.75" x14ac:dyDescent="0.3">
      <c r="A3" s="3" t="s">
        <v>30</v>
      </c>
      <c r="B3" s="3">
        <v>0.12</v>
      </c>
      <c r="C3" s="3"/>
    </row>
    <row r="4" spans="1:3" ht="18.75" x14ac:dyDescent="0.3">
      <c r="A4" s="3" t="s">
        <v>14</v>
      </c>
      <c r="B4" s="3">
        <v>5</v>
      </c>
      <c r="C4" s="3"/>
    </row>
    <row r="5" spans="1:3" ht="18.75" x14ac:dyDescent="0.3">
      <c r="A5" s="3" t="s">
        <v>27</v>
      </c>
      <c r="B5" s="10" t="e">
        <f>B1*POWER(1+B2,B3)</f>
        <v>#VALUE!</v>
      </c>
      <c r="C5" s="3"/>
    </row>
    <row r="6" spans="1:3" ht="18.75" x14ac:dyDescent="0.3">
      <c r="A6" s="3" t="s">
        <v>28</v>
      </c>
      <c r="B6" s="9" t="e" cm="1">
        <f t="array" aca="1" ref="B6" ca="1">B2*ЭКСП(B3*B4)</f>
        <v>#NAME?</v>
      </c>
      <c r="C6" s="3"/>
    </row>
    <row r="7" spans="1:3" ht="18.75" x14ac:dyDescent="0.3">
      <c r="A7" s="3" t="s">
        <v>15</v>
      </c>
      <c r="B7" s="3">
        <f>72/(B3*100)</f>
        <v>6</v>
      </c>
      <c r="C7" s="3"/>
    </row>
    <row r="8" spans="1:3" ht="18.75" x14ac:dyDescent="0.3">
      <c r="A8" s="3" t="s">
        <v>29</v>
      </c>
      <c r="B8" s="9">
        <f>LN(2)/LN(1+B2)</f>
        <v>6.0205946838836726E-2</v>
      </c>
      <c r="C8" s="3"/>
    </row>
  </sheetData>
  <autoFilter ref="A1:C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38" customWidth="1"/>
    <col min="2" max="2" width="60" customWidth="1"/>
    <col min="3" max="3" width="38" customWidth="1"/>
  </cols>
  <sheetData>
    <row r="1" spans="1:3" ht="18.75" x14ac:dyDescent="0.3">
      <c r="A1" s="2" t="s">
        <v>11</v>
      </c>
      <c r="B1" s="2" t="s">
        <v>16</v>
      </c>
      <c r="C1" s="1"/>
    </row>
    <row r="2" spans="1:3" ht="18.75" x14ac:dyDescent="0.3">
      <c r="A2" s="3" t="s">
        <v>17</v>
      </c>
      <c r="B2" s="3">
        <f ca="1">SUM(B2:B8)</f>
        <v>0</v>
      </c>
    </row>
    <row r="3" spans="1:3" ht="18.75" x14ac:dyDescent="0.3">
      <c r="A3" s="3" t="s">
        <v>18</v>
      </c>
      <c r="B3" s="3">
        <f ca="1">SUMIF(B2:B8,"&gt;2")</f>
        <v>0</v>
      </c>
    </row>
    <row r="4" spans="1:3" ht="18.75" x14ac:dyDescent="0.3">
      <c r="A4" s="3" t="s">
        <v>19</v>
      </c>
      <c r="B4" s="3" t="e" cm="1">
        <f t="array" aca="1" ref="B4" ca="1" xml:space="preserve"> СУММПРОИЗВ (B2:B8,E2:E8)/_xludf.SUM(E2:E8)</f>
        <v>#NAME?</v>
      </c>
    </row>
    <row r="5" spans="1:3" ht="18.75" x14ac:dyDescent="0.3">
      <c r="A5" s="3" t="s">
        <v>20</v>
      </c>
      <c r="B5" s="3">
        <f ca="1">COUNTIF(B2:B8,"&gt;2")</f>
        <v>0</v>
      </c>
    </row>
    <row r="6" spans="1:3" ht="18.75" x14ac:dyDescent="0.3">
      <c r="A6" s="3" t="s">
        <v>21</v>
      </c>
      <c r="B6" s="3">
        <f ca="1">AVERAGE(B2:B8)</f>
        <v>0</v>
      </c>
    </row>
    <row r="7" spans="1:3" ht="18.75" x14ac:dyDescent="0.3">
      <c r="A7" s="3" t="s">
        <v>22</v>
      </c>
      <c r="B7" s="3">
        <f ca="1">MAX(B2:B8)</f>
        <v>0</v>
      </c>
    </row>
    <row r="8" spans="1:3" ht="18.75" x14ac:dyDescent="0.3">
      <c r="A8" s="3" t="s">
        <v>23</v>
      </c>
      <c r="B8" s="3">
        <f ca="1">MIN(B2:B8)</f>
        <v>0</v>
      </c>
    </row>
  </sheetData>
  <autoFilter ref="A1:C8" xr:uid="{00000000-0009-0000-0000-000004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39" customWidth="1"/>
    <col min="2" max="2" width="37" customWidth="1"/>
    <col min="3" max="3" width="15" customWidth="1"/>
    <col min="4" max="4" width="17" customWidth="1"/>
    <col min="5" max="5" width="34" customWidth="1"/>
    <col min="6" max="6" width="25" customWidth="1"/>
  </cols>
  <sheetData>
    <row r="1" spans="1:6" ht="18.75" x14ac:dyDescent="0.3">
      <c r="A1" s="2" t="s">
        <v>36</v>
      </c>
      <c r="B1" s="2" t="s">
        <v>35</v>
      </c>
      <c r="C1" s="1"/>
      <c r="D1" s="1"/>
      <c r="E1" s="1"/>
      <c r="F1" s="1"/>
    </row>
    <row r="2" spans="1:6" ht="18.75" x14ac:dyDescent="0.3">
      <c r="A2" s="3" t="s">
        <v>24</v>
      </c>
      <c r="B2" s="9">
        <v>500000</v>
      </c>
    </row>
    <row r="3" spans="1:6" ht="18.75" x14ac:dyDescent="0.3">
      <c r="A3" s="3" t="s">
        <v>13</v>
      </c>
      <c r="B3" s="9">
        <v>0.18</v>
      </c>
    </row>
    <row r="4" spans="1:6" ht="18.75" x14ac:dyDescent="0.3">
      <c r="A4" s="3" t="s">
        <v>14</v>
      </c>
      <c r="B4" s="9">
        <v>3</v>
      </c>
    </row>
    <row r="5" spans="1:6" ht="18.75" x14ac:dyDescent="0.3">
      <c r="A5" s="3" t="s">
        <v>25</v>
      </c>
      <c r="B5" s="9">
        <f>B3/12</f>
        <v>1.4999999999999999E-2</v>
      </c>
    </row>
    <row r="6" spans="1:6" ht="18.75" x14ac:dyDescent="0.3">
      <c r="A6" s="3" t="s">
        <v>31</v>
      </c>
      <c r="B6" s="12">
        <f>PMT(B3/12, B4*12, -B2)</f>
        <v>18076.197767958416</v>
      </c>
    </row>
    <row r="7" spans="1:6" ht="18.75" x14ac:dyDescent="0.3">
      <c r="A7" s="3" t="s">
        <v>32</v>
      </c>
      <c r="B7" s="9">
        <f>B6*B4*12</f>
        <v>650743.11964650301</v>
      </c>
    </row>
    <row r="8" spans="1:6" ht="18.75" x14ac:dyDescent="0.3">
      <c r="A8" s="3" t="s">
        <v>33</v>
      </c>
      <c r="B8" s="9">
        <f>B7-B2</f>
        <v>150743.11964650301</v>
      </c>
    </row>
    <row r="9" spans="1:6" ht="18.75" x14ac:dyDescent="0.3">
      <c r="A9" s="3" t="s">
        <v>34</v>
      </c>
      <c r="B9" s="9">
        <f>PPMT(B3/12, 1, B4*12, -B2)</f>
        <v>10576.197767958418</v>
      </c>
    </row>
    <row r="10" spans="1:6" x14ac:dyDescent="0.25">
      <c r="B10" s="11"/>
    </row>
  </sheetData>
  <autoFilter ref="A1:F4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Математика</vt:lpstr>
      <vt:lpstr>Степени и логарифмы</vt:lpstr>
      <vt:lpstr>Суммирование с условием </vt:lpstr>
      <vt:lpstr>Расчёт кредита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Доминика Лушникова</cp:lastModifiedBy>
  <dcterms:created xsi:type="dcterms:W3CDTF">2026-10-26T20:54:55Z</dcterms:created>
  <dcterms:modified xsi:type="dcterms:W3CDTF">2026-10-26T21:43:59Z</dcterms:modified>
</cp:coreProperties>
</file>